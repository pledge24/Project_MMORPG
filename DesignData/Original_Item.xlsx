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real\Projects\Project_MMORPG\DesignData\"/>
    </mc:Choice>
  </mc:AlternateContent>
  <xr:revisionPtr revIDLastSave="0" documentId="13_ncr:1_{1D6470A7-737C-4D5A-A7D7-2A902F928261}" xr6:coauthVersionLast="47" xr6:coauthVersionMax="47" xr10:uidLastSave="{00000000-0000-0000-0000-000000000000}"/>
  <bookViews>
    <workbookView xWindow="-108" yWindow="-108" windowWidth="30936" windowHeight="16776" activeTab="2" xr2:uid="{FDA0E9BE-2965-48E7-917D-7535984AEDF4}"/>
  </bookViews>
  <sheets>
    <sheet name="전사 장비(1000~1999)" sheetId="4" r:id="rId1"/>
    <sheet name="소비(2000~2999)" sheetId="2" r:id="rId2"/>
    <sheet name="기타(3000~3999)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4" l="1"/>
  <c r="H38" i="4"/>
  <c r="Q37" i="4"/>
  <c r="H37" i="4"/>
  <c r="Q36" i="4"/>
  <c r="H36" i="4"/>
  <c r="Q35" i="4"/>
  <c r="H35" i="4"/>
  <c r="Q34" i="4"/>
  <c r="H34" i="4"/>
  <c r="Q33" i="4"/>
  <c r="H33" i="4"/>
  <c r="Q32" i="4"/>
  <c r="H32" i="4"/>
  <c r="Q31" i="4"/>
  <c r="H31" i="4"/>
  <c r="Q30" i="4"/>
  <c r="H30" i="4"/>
  <c r="Q29" i="4"/>
  <c r="H29" i="4"/>
  <c r="Q28" i="4"/>
  <c r="H28" i="4"/>
  <c r="Q27" i="4"/>
  <c r="H27" i="4"/>
  <c r="Q26" i="4"/>
  <c r="H26" i="4"/>
  <c r="Q25" i="4"/>
  <c r="H25" i="4"/>
  <c r="Q24" i="4"/>
  <c r="H24" i="4"/>
  <c r="Q23" i="4"/>
  <c r="H23" i="4"/>
  <c r="Q22" i="4"/>
  <c r="H22" i="4"/>
  <c r="Q21" i="4"/>
  <c r="H21" i="4"/>
  <c r="Q20" i="4"/>
  <c r="H20" i="4"/>
  <c r="Q19" i="4"/>
  <c r="H19" i="4"/>
  <c r="Q18" i="4"/>
  <c r="H18" i="4"/>
  <c r="Q17" i="4"/>
  <c r="H17" i="4"/>
  <c r="Q16" i="4"/>
  <c r="H16" i="4"/>
  <c r="Q15" i="4"/>
  <c r="H15" i="4"/>
  <c r="Q14" i="4"/>
  <c r="H14" i="4"/>
  <c r="Q13" i="4"/>
  <c r="H13" i="4"/>
  <c r="Q12" i="4"/>
  <c r="H12" i="4"/>
  <c r="Q11" i="4"/>
  <c r="H11" i="4"/>
  <c r="Q10" i="4"/>
  <c r="H10" i="4"/>
  <c r="Q9" i="4"/>
  <c r="H9" i="4"/>
  <c r="Q8" i="4"/>
  <c r="Q7" i="4"/>
  <c r="H7" i="4"/>
  <c r="Q6" i="4"/>
  <c r="H6" i="4"/>
  <c r="Q5" i="4"/>
  <c r="H5" i="4"/>
  <c r="Q4" i="4"/>
  <c r="H4" i="4"/>
  <c r="Q3" i="4"/>
  <c r="H3" i="4"/>
  <c r="H3" i="2"/>
  <c r="H4" i="2"/>
  <c r="H5" i="2"/>
</calcChain>
</file>

<file path=xl/sharedStrings.xml><?xml version="1.0" encoding="utf-8"?>
<sst xmlns="http://schemas.openxmlformats.org/spreadsheetml/2006/main" count="371" uniqueCount="118">
  <si>
    <t>class_requirement</t>
  </si>
  <si>
    <t>max_stack</t>
  </si>
  <si>
    <t>buy_price</t>
  </si>
  <si>
    <t>sell_price</t>
  </si>
  <si>
    <t>description</t>
  </si>
  <si>
    <t>cooldown</t>
  </si>
  <si>
    <t>item_name</t>
    <phoneticPr fontId="1" type="noConversion"/>
  </si>
  <si>
    <t>item_type</t>
    <phoneticPr fontId="1" type="noConversion"/>
  </si>
  <si>
    <t>item_subtype</t>
    <phoneticPr fontId="1" type="noConversion"/>
  </si>
  <si>
    <t>level_requirement</t>
    <phoneticPr fontId="1" type="noConversion"/>
  </si>
  <si>
    <t>sellable</t>
    <phoneticPr fontId="1" type="noConversion"/>
  </si>
  <si>
    <t>hp_restore</t>
    <phoneticPr fontId="1" type="noConversion"/>
  </si>
  <si>
    <t>mp_restore</t>
    <phoneticPr fontId="1" type="noConversion"/>
  </si>
  <si>
    <t>BOTH</t>
    <phoneticPr fontId="1" type="noConversion"/>
  </si>
  <si>
    <t>CLIENT</t>
    <phoneticPr fontId="1" type="noConversion"/>
  </si>
  <si>
    <t>"HP 물약"</t>
    <phoneticPr fontId="1" type="noConversion"/>
  </si>
  <si>
    <t>"MP 물약"</t>
    <phoneticPr fontId="1" type="noConversion"/>
  </si>
  <si>
    <t>"복합 물약"</t>
    <phoneticPr fontId="1" type="noConversion"/>
  </si>
  <si>
    <t>"potion"</t>
    <phoneticPr fontId="1" type="noConversion"/>
  </si>
  <si>
    <t>"consumption"</t>
    <phoneticPr fontId="1" type="noConversion"/>
  </si>
  <si>
    <t>"all"</t>
    <phoneticPr fontId="1" type="noConversion"/>
  </si>
  <si>
    <t>"TRUE"</t>
    <phoneticPr fontId="1" type="noConversion"/>
  </si>
  <si>
    <t>"파란색 물약. 먹으면 MP가 회복된다."</t>
    <phoneticPr fontId="1" type="noConversion"/>
  </si>
  <si>
    <t>"빨간색 물약. 먹으면 HP가 회복된다."</t>
    <phoneticPr fontId="1" type="noConversion"/>
  </si>
  <si>
    <t>"보라색 물약. 먹으면 HP와 MP가 회복된다."</t>
    <phoneticPr fontId="1" type="noConversion"/>
  </si>
  <si>
    <t>template_id</t>
    <phoneticPr fontId="1" type="noConversion"/>
  </si>
  <si>
    <t>"왕가의 숨겨진 유물 중 하나. 악마와 계약해 얻은 검이라는 소문이 돈다."</t>
  </si>
  <si>
    <t>"TRUE"</t>
  </si>
  <si>
    <t>"warrior"</t>
    <phoneticPr fontId="1" type="noConversion"/>
  </si>
  <si>
    <t>"sword"</t>
  </si>
  <si>
    <t>"weapon"</t>
  </si>
  <si>
    <t>"저주받은 파멸의 검"</t>
  </si>
  <si>
    <t>"압도적인 무게감을 가진 신발. 보기만해도 두려워진다."</t>
  </si>
  <si>
    <t>"boots"</t>
  </si>
  <si>
    <t>"armor"</t>
  </si>
  <si>
    <t>"기사 단장의 신발"</t>
  </si>
  <si>
    <t>"압도적인 무게감을 가진 건틀릿. 보기만해도 두려워진다."</t>
  </si>
  <si>
    <t>"arms"</t>
  </si>
  <si>
    <t>"기사 단장의 건틀릿"</t>
  </si>
  <si>
    <t>"압도적인 무게감을 가진 하의. 보기만해도 두려워진다."</t>
  </si>
  <si>
    <t>"legs"</t>
  </si>
  <si>
    <t>"기사 단장의 하의"</t>
  </si>
  <si>
    <t>"압도적인 무게감을 가진 상의. 보기만해도 두려워진다."</t>
  </si>
  <si>
    <t>"chest"</t>
  </si>
  <si>
    <t>"기사 단장의 상의"</t>
  </si>
  <si>
    <t>"압도적인 무게감을 가진 투구. 보기만해도 두려워진다."</t>
  </si>
  <si>
    <t>"helmet"</t>
  </si>
  <si>
    <t>"기사 단장의 투구"</t>
  </si>
  <si>
    <t>"글라디우스"</t>
  </si>
  <si>
    <t>"왕실 기사단에 입단할때 수여받는 신발. 품질이 우수한걸로 유명하다."</t>
  </si>
  <si>
    <t>"왕실 기사단의 신발"</t>
  </si>
  <si>
    <t>"왕실 기사단에 입단할때 수여받는 건틀릿. 품질이 우수한걸로 유명하다."</t>
  </si>
  <si>
    <t>"왕실 기사단의 건틀릿"</t>
  </si>
  <si>
    <t>"왕실 기사단에 입단할때 수여받는 하의. 품질이 우수한걸로 유명하다."</t>
  </si>
  <si>
    <t>"왕실 기사단의 하의"</t>
  </si>
  <si>
    <t>"왕실 기사단에 입단할때 수여받는 상의. 품질이 우수한걸로 유명하다."</t>
  </si>
  <si>
    <t>"왕실 기사단의 상의"</t>
  </si>
  <si>
    <t>"왕실 기사단에 입단할때 수여받는 투구. 품질이 우수한걸로 유명하다."</t>
  </si>
  <si>
    <t>"왕실 기사단의 투구"</t>
  </si>
  <si>
    <t>"전설로 내려오는 엑스칼리버를 본떠 만든 모조품. 선봉대들 사이에서 인기이다."</t>
  </si>
  <si>
    <t>"엑스칼리버(모조품)"</t>
  </si>
  <si>
    <t>"선봉대의 신발. 실력있는 기사만이 입을 수 있다."</t>
  </si>
  <si>
    <t>"선봉대의 신발"</t>
  </si>
  <si>
    <t>"선봉대의 건틀릿. 실력있는 기사만이 입을 수 있다."</t>
  </si>
  <si>
    <t>"선봉대의 건틀릿"</t>
  </si>
  <si>
    <t>"선봉대의 하의. 실력있는 기사만이 입을 수 있다."</t>
  </si>
  <si>
    <t>"선봉대의 하의"</t>
  </si>
  <si>
    <t>"선봉대의 상의. 실력있는 기사만이 입을 수 있다."</t>
  </si>
  <si>
    <t>"선봉대의 상의"</t>
  </si>
  <si>
    <t>"선봉대의 투구. 실력있는 기사만이 입을 수 있다."</t>
  </si>
  <si>
    <t>"선봉대의 투구"</t>
  </si>
  <si>
    <t>"견습 기사의 A급 검. 사용감이 적어서 그런지 날이 날렵하다."</t>
  </si>
  <si>
    <t>"기사의 검"</t>
  </si>
  <si>
    <t>"간단한 디자인의 신발. 판금으로 제작되어 꽤 단단하다."</t>
  </si>
  <si>
    <t>"견습 기사의 신발"</t>
  </si>
  <si>
    <t>"간단한 디자인의 건틀릿. 판금으로 제작되어 꽤 단단하다."</t>
  </si>
  <si>
    <t>"견습 기사의 건틀릿"</t>
  </si>
  <si>
    <t>"간단한 디자인의 하의. 판금으로 제작되어 꽤 단단하다."</t>
  </si>
  <si>
    <t>"견습 기사의 하의"</t>
  </si>
  <si>
    <t>"간단한 디자인의 상의. 판금으로 제작되어 꽤 단단하다."</t>
  </si>
  <si>
    <t>"견습 기사의 상의"</t>
  </si>
  <si>
    <t>"간단한 디자인의 투구. 판금으로 제작되어 꽤 단단하다."</t>
  </si>
  <si>
    <t>"견습 기사의 투구"</t>
  </si>
  <si>
    <t>"검은날이 매력적인 검. 밤에 휘두르면 잘 보이지 않는다."</t>
  </si>
  <si>
    <t>"흑기사의 검"</t>
  </si>
  <si>
    <t>"흑기사가 임무를 수행할때 착용하는 신발. 암살용이라 방어력은 그닥 높지 않다."</t>
  </si>
  <si>
    <t>"흑기사의 신발"</t>
  </si>
  <si>
    <t>"흑기사가 임무를 수행할때 착용하는 건틀릿. 암살용이라 방어력은 그닥 높지 않다."</t>
  </si>
  <si>
    <t>"흑기사의 건틀릿"</t>
  </si>
  <si>
    <t>"흑기사가 임무를 수행할때 착용하는 하의. 암살용이라 방어력은 그닥 높지 않다."</t>
  </si>
  <si>
    <t>"흑기사의 하의"</t>
  </si>
  <si>
    <t>"흑기사가 임무를 수행할때 착용하는 상의. 암살용이라 방어력은 그닥 높지 않다."</t>
  </si>
  <si>
    <t>"흑기사의 상의"</t>
  </si>
  <si>
    <t>"흑기사가 임무를 수행할때 착용하는 복면. 암살용이라 방어력은 그닥 높지 않다."</t>
  </si>
  <si>
    <t>"흑기사의 복면"</t>
  </si>
  <si>
    <t>"FALSE"</t>
  </si>
  <si>
    <t>"초보자의 검"</t>
  </si>
  <si>
    <t>"허름한 신발. 입지 않은 것보다 나은 정도다."</t>
  </si>
  <si>
    <t>"초보자의 신발"</t>
  </si>
  <si>
    <t>"허름한 장갑. 입지 않은 것보다 나은 정도다."</t>
  </si>
  <si>
    <t>"초보자의 장갑"</t>
  </si>
  <si>
    <t>"허름한 하의. 입지 않은 것보다 나은 정도다."</t>
  </si>
  <si>
    <t>"초보자의 하의"</t>
  </si>
  <si>
    <t>"허름한 상의. 입지 않은 것보다 나은 정도다."</t>
  </si>
  <si>
    <t>"초보자의 상의"</t>
  </si>
  <si>
    <t>"허름한 두건. 입지 않은 것보다 나은 정도다."</t>
  </si>
  <si>
    <t>"helmet"</t>
    <phoneticPr fontId="1" type="noConversion"/>
  </si>
  <si>
    <t>"초보자의 두건"</t>
  </si>
  <si>
    <t>mp_regenerate</t>
    <phoneticPr fontId="1" type="noConversion"/>
  </si>
  <si>
    <t>hp_regenerate</t>
    <phoneticPr fontId="1" type="noConversion"/>
  </si>
  <si>
    <t>mp</t>
    <phoneticPr fontId="1" type="noConversion"/>
  </si>
  <si>
    <t>hp</t>
    <phoneticPr fontId="1" type="noConversion"/>
  </si>
  <si>
    <t>magical_attack</t>
    <phoneticPr fontId="1" type="noConversion"/>
  </si>
  <si>
    <t>physical_attack</t>
    <phoneticPr fontId="1" type="noConversion"/>
  </si>
  <si>
    <t>stackable</t>
    <phoneticPr fontId="1" type="noConversion"/>
  </si>
  <si>
    <t>"FALSE"</t>
    <phoneticPr fontId="1" type="noConversion"/>
  </si>
  <si>
    <t>"흔해 빠진 검. 보급형이라 적당히 쓰기 좋다."</t>
    <phoneticPr fontId="1" type="noConversion"/>
  </si>
  <si>
    <t>"금으로 장식된 화려한 검. 세게 휘두르면 나무도 자를 수 있다."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</si>
</sst>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C8A9-CEC2-4794-9B99-BAC1321823BA}">
  <dimension ref="A1:S38"/>
  <sheetViews>
    <sheetView topLeftCell="F1" workbookViewId="0">
      <selection activeCell="T1" sqref="T1:T1048576"/>
    </sheetView>
  </sheetViews>
  <sheetFormatPr defaultRowHeight="17.399999999999999" x14ac:dyDescent="0.4"/>
  <cols>
    <col min="1" max="1" width="7.296875" bestFit="1" customWidth="1"/>
    <col min="2" max="2" width="17.09765625" bestFit="1" customWidth="1"/>
    <col min="3" max="3" width="14.59765625" bestFit="1" customWidth="1"/>
    <col min="4" max="4" width="14.59765625" customWidth="1"/>
    <col min="5" max="5" width="16.296875" bestFit="1" customWidth="1"/>
    <col min="6" max="6" width="16.296875" customWidth="1"/>
    <col min="7" max="7" width="9.59765625" bestFit="1" customWidth="1"/>
    <col min="9" max="9" width="9.69921875" bestFit="1" customWidth="1"/>
    <col min="10" max="10" width="7.3984375" customWidth="1"/>
    <col min="11" max="11" width="9.59765625" bestFit="1" customWidth="1"/>
    <col min="12" max="12" width="9.3984375" bestFit="1" customWidth="1"/>
    <col min="13" max="13" width="73.5" bestFit="1" customWidth="1"/>
    <col min="14" max="14" width="10.8984375" bestFit="1" customWidth="1"/>
    <col min="15" max="15" width="17.09765625" bestFit="1" customWidth="1"/>
    <col min="16" max="16" width="10.8984375" bestFit="1" customWidth="1"/>
    <col min="17" max="17" width="9.8984375" bestFit="1" customWidth="1"/>
    <col min="18" max="18" width="10" bestFit="1" customWidth="1"/>
    <col min="19" max="19" width="10.69921875" bestFit="1" customWidth="1"/>
  </cols>
  <sheetData>
    <row r="1" spans="1:19" x14ac:dyDescent="0.4">
      <c r="A1" t="s">
        <v>25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2</v>
      </c>
      <c r="H1" t="s">
        <v>3</v>
      </c>
      <c r="I1" t="s">
        <v>10</v>
      </c>
      <c r="J1" t="s">
        <v>114</v>
      </c>
      <c r="K1" t="s">
        <v>1</v>
      </c>
      <c r="L1" t="s">
        <v>5</v>
      </c>
      <c r="M1" t="s">
        <v>4</v>
      </c>
      <c r="N1" t="s">
        <v>113</v>
      </c>
      <c r="O1" t="s">
        <v>112</v>
      </c>
      <c r="P1" t="s">
        <v>111</v>
      </c>
      <c r="Q1" t="s">
        <v>110</v>
      </c>
      <c r="R1" t="s">
        <v>109</v>
      </c>
      <c r="S1" t="s">
        <v>108</v>
      </c>
    </row>
    <row r="2" spans="1:19" x14ac:dyDescent="0.4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14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</row>
    <row r="3" spans="1:19" x14ac:dyDescent="0.4">
      <c r="A3">
        <v>1000</v>
      </c>
      <c r="B3" t="s">
        <v>107</v>
      </c>
      <c r="C3" t="s">
        <v>34</v>
      </c>
      <c r="D3" t="s">
        <v>106</v>
      </c>
      <c r="E3">
        <v>1</v>
      </c>
      <c r="F3" t="s">
        <v>28</v>
      </c>
      <c r="G3">
        <v>100</v>
      </c>
      <c r="H3">
        <f t="shared" ref="H3:H38" si="0">G3*0.1</f>
        <v>10</v>
      </c>
      <c r="I3" t="s">
        <v>27</v>
      </c>
      <c r="J3" t="s">
        <v>115</v>
      </c>
      <c r="K3">
        <v>1</v>
      </c>
      <c r="L3">
        <v>-1</v>
      </c>
      <c r="M3" t="s">
        <v>105</v>
      </c>
      <c r="N3">
        <v>0</v>
      </c>
      <c r="O3">
        <v>0</v>
      </c>
      <c r="P3">
        <v>100</v>
      </c>
      <c r="Q3">
        <f t="shared" ref="Q3:Q38" si="1">P3*0.5</f>
        <v>50</v>
      </c>
      <c r="R3">
        <v>0</v>
      </c>
      <c r="S3">
        <v>0</v>
      </c>
    </row>
    <row r="4" spans="1:19" x14ac:dyDescent="0.4">
      <c r="A4">
        <v>1001</v>
      </c>
      <c r="B4" t="s">
        <v>104</v>
      </c>
      <c r="C4" t="s">
        <v>34</v>
      </c>
      <c r="D4" t="s">
        <v>43</v>
      </c>
      <c r="E4">
        <v>1</v>
      </c>
      <c r="F4" t="s">
        <v>28</v>
      </c>
      <c r="G4">
        <v>100</v>
      </c>
      <c r="H4">
        <f t="shared" si="0"/>
        <v>10</v>
      </c>
      <c r="I4" t="s">
        <v>27</v>
      </c>
      <c r="J4" t="s">
        <v>115</v>
      </c>
      <c r="K4">
        <v>1</v>
      </c>
      <c r="L4">
        <v>-1</v>
      </c>
      <c r="M4" t="s">
        <v>103</v>
      </c>
      <c r="N4">
        <v>0</v>
      </c>
      <c r="O4">
        <v>0</v>
      </c>
      <c r="P4">
        <v>200</v>
      </c>
      <c r="Q4">
        <f t="shared" si="1"/>
        <v>100</v>
      </c>
      <c r="R4">
        <v>0</v>
      </c>
      <c r="S4">
        <v>0</v>
      </c>
    </row>
    <row r="5" spans="1:19" x14ac:dyDescent="0.4">
      <c r="A5">
        <v>1002</v>
      </c>
      <c r="B5" t="s">
        <v>102</v>
      </c>
      <c r="C5" t="s">
        <v>34</v>
      </c>
      <c r="D5" t="s">
        <v>40</v>
      </c>
      <c r="E5">
        <v>1</v>
      </c>
      <c r="F5" t="s">
        <v>28</v>
      </c>
      <c r="G5">
        <v>100</v>
      </c>
      <c r="H5">
        <f t="shared" si="0"/>
        <v>10</v>
      </c>
      <c r="I5" t="s">
        <v>27</v>
      </c>
      <c r="J5" t="s">
        <v>115</v>
      </c>
      <c r="K5">
        <v>1</v>
      </c>
      <c r="L5">
        <v>-1</v>
      </c>
      <c r="M5" t="s">
        <v>101</v>
      </c>
      <c r="N5">
        <v>0</v>
      </c>
      <c r="O5">
        <v>0</v>
      </c>
      <c r="P5">
        <v>200</v>
      </c>
      <c r="Q5">
        <f t="shared" si="1"/>
        <v>100</v>
      </c>
      <c r="R5">
        <v>0</v>
      </c>
      <c r="S5">
        <v>0</v>
      </c>
    </row>
    <row r="6" spans="1:19" x14ac:dyDescent="0.4">
      <c r="A6">
        <v>1003</v>
      </c>
      <c r="B6" t="s">
        <v>100</v>
      </c>
      <c r="C6" t="s">
        <v>34</v>
      </c>
      <c r="D6" t="s">
        <v>37</v>
      </c>
      <c r="E6">
        <v>1</v>
      </c>
      <c r="F6" t="s">
        <v>28</v>
      </c>
      <c r="G6">
        <v>100</v>
      </c>
      <c r="H6">
        <f t="shared" si="0"/>
        <v>10</v>
      </c>
      <c r="I6" t="s">
        <v>27</v>
      </c>
      <c r="J6" t="s">
        <v>115</v>
      </c>
      <c r="K6">
        <v>1</v>
      </c>
      <c r="L6">
        <v>-1</v>
      </c>
      <c r="M6" t="s">
        <v>99</v>
      </c>
      <c r="N6">
        <v>0</v>
      </c>
      <c r="O6">
        <v>0</v>
      </c>
      <c r="P6">
        <v>100</v>
      </c>
      <c r="Q6">
        <f t="shared" si="1"/>
        <v>50</v>
      </c>
      <c r="R6">
        <v>0</v>
      </c>
      <c r="S6">
        <v>0</v>
      </c>
    </row>
    <row r="7" spans="1:19" x14ac:dyDescent="0.4">
      <c r="A7">
        <v>1004</v>
      </c>
      <c r="B7" t="s">
        <v>98</v>
      </c>
      <c r="C7" t="s">
        <v>34</v>
      </c>
      <c r="D7" t="s">
        <v>33</v>
      </c>
      <c r="E7">
        <v>1</v>
      </c>
      <c r="F7" t="s">
        <v>28</v>
      </c>
      <c r="G7">
        <v>100</v>
      </c>
      <c r="H7">
        <f t="shared" si="0"/>
        <v>10</v>
      </c>
      <c r="I7" t="s">
        <v>27</v>
      </c>
      <c r="J7" t="s">
        <v>115</v>
      </c>
      <c r="K7">
        <v>1</v>
      </c>
      <c r="L7">
        <v>-1</v>
      </c>
      <c r="M7" t="s">
        <v>97</v>
      </c>
      <c r="N7">
        <v>0</v>
      </c>
      <c r="O7">
        <v>0</v>
      </c>
      <c r="P7">
        <v>100</v>
      </c>
      <c r="Q7">
        <f t="shared" si="1"/>
        <v>50</v>
      </c>
      <c r="R7">
        <v>0</v>
      </c>
      <c r="S7">
        <v>0</v>
      </c>
    </row>
    <row r="8" spans="1:19" x14ac:dyDescent="0.4">
      <c r="A8">
        <v>1005</v>
      </c>
      <c r="B8" t="s">
        <v>96</v>
      </c>
      <c r="C8" t="s">
        <v>30</v>
      </c>
      <c r="D8" t="s">
        <v>29</v>
      </c>
      <c r="E8">
        <v>1</v>
      </c>
      <c r="F8" t="s">
        <v>28</v>
      </c>
      <c r="G8">
        <v>100</v>
      </c>
      <c r="H8">
        <v>10</v>
      </c>
      <c r="I8" t="s">
        <v>95</v>
      </c>
      <c r="J8" t="s">
        <v>115</v>
      </c>
      <c r="K8">
        <v>1</v>
      </c>
      <c r="L8">
        <v>-1</v>
      </c>
      <c r="M8" t="s">
        <v>116</v>
      </c>
      <c r="N8">
        <v>10</v>
      </c>
      <c r="O8">
        <v>0</v>
      </c>
      <c r="P8">
        <v>0</v>
      </c>
      <c r="Q8">
        <f t="shared" si="1"/>
        <v>0</v>
      </c>
      <c r="R8">
        <v>0</v>
      </c>
      <c r="S8">
        <v>0</v>
      </c>
    </row>
    <row r="9" spans="1:19" x14ac:dyDescent="0.4">
      <c r="A9">
        <v>1006</v>
      </c>
      <c r="B9" t="s">
        <v>94</v>
      </c>
      <c r="C9" t="s">
        <v>34</v>
      </c>
      <c r="D9" t="s">
        <v>46</v>
      </c>
      <c r="E9">
        <v>10</v>
      </c>
      <c r="F9" t="s">
        <v>28</v>
      </c>
      <c r="G9">
        <v>1000</v>
      </c>
      <c r="H9">
        <f t="shared" si="0"/>
        <v>100</v>
      </c>
      <c r="I9" t="s">
        <v>27</v>
      </c>
      <c r="J9" t="s">
        <v>115</v>
      </c>
      <c r="K9">
        <v>1</v>
      </c>
      <c r="L9">
        <v>-1</v>
      </c>
      <c r="M9" t="s">
        <v>93</v>
      </c>
      <c r="N9">
        <v>0</v>
      </c>
      <c r="O9">
        <v>0</v>
      </c>
      <c r="P9">
        <v>200</v>
      </c>
      <c r="Q9">
        <f t="shared" si="1"/>
        <v>100</v>
      </c>
      <c r="R9">
        <v>0</v>
      </c>
      <c r="S9">
        <v>0</v>
      </c>
    </row>
    <row r="10" spans="1:19" x14ac:dyDescent="0.4">
      <c r="A10">
        <v>1007</v>
      </c>
      <c r="B10" t="s">
        <v>92</v>
      </c>
      <c r="C10" t="s">
        <v>34</v>
      </c>
      <c r="D10" t="s">
        <v>43</v>
      </c>
      <c r="E10">
        <v>10</v>
      </c>
      <c r="F10" t="s">
        <v>28</v>
      </c>
      <c r="G10">
        <v>1000</v>
      </c>
      <c r="H10">
        <f t="shared" si="0"/>
        <v>100</v>
      </c>
      <c r="I10" t="s">
        <v>27</v>
      </c>
      <c r="J10" t="s">
        <v>115</v>
      </c>
      <c r="K10">
        <v>1</v>
      </c>
      <c r="L10">
        <v>-1</v>
      </c>
      <c r="M10" t="s">
        <v>91</v>
      </c>
      <c r="N10">
        <v>0</v>
      </c>
      <c r="O10">
        <v>0</v>
      </c>
      <c r="P10">
        <v>400</v>
      </c>
      <c r="Q10">
        <f t="shared" si="1"/>
        <v>200</v>
      </c>
      <c r="R10">
        <v>0</v>
      </c>
      <c r="S10">
        <v>0</v>
      </c>
    </row>
    <row r="11" spans="1:19" x14ac:dyDescent="0.4">
      <c r="A11">
        <v>1008</v>
      </c>
      <c r="B11" t="s">
        <v>90</v>
      </c>
      <c r="C11" t="s">
        <v>34</v>
      </c>
      <c r="D11" t="s">
        <v>40</v>
      </c>
      <c r="E11">
        <v>10</v>
      </c>
      <c r="F11" t="s">
        <v>28</v>
      </c>
      <c r="G11">
        <v>1000</v>
      </c>
      <c r="H11">
        <f t="shared" si="0"/>
        <v>100</v>
      </c>
      <c r="I11" t="s">
        <v>27</v>
      </c>
      <c r="J11" t="s">
        <v>115</v>
      </c>
      <c r="K11">
        <v>1</v>
      </c>
      <c r="L11">
        <v>-1</v>
      </c>
      <c r="M11" t="s">
        <v>89</v>
      </c>
      <c r="N11">
        <v>0</v>
      </c>
      <c r="O11">
        <v>0</v>
      </c>
      <c r="P11">
        <v>400</v>
      </c>
      <c r="Q11">
        <f t="shared" si="1"/>
        <v>200</v>
      </c>
      <c r="R11">
        <v>0</v>
      </c>
      <c r="S11">
        <v>0</v>
      </c>
    </row>
    <row r="12" spans="1:19" x14ac:dyDescent="0.4">
      <c r="A12">
        <v>1009</v>
      </c>
      <c r="B12" t="s">
        <v>88</v>
      </c>
      <c r="C12" t="s">
        <v>34</v>
      </c>
      <c r="D12" t="s">
        <v>37</v>
      </c>
      <c r="E12">
        <v>10</v>
      </c>
      <c r="F12" t="s">
        <v>28</v>
      </c>
      <c r="G12">
        <v>1000</v>
      </c>
      <c r="H12">
        <f t="shared" si="0"/>
        <v>100</v>
      </c>
      <c r="I12" t="s">
        <v>27</v>
      </c>
      <c r="J12" t="s">
        <v>115</v>
      </c>
      <c r="K12">
        <v>1</v>
      </c>
      <c r="L12">
        <v>-1</v>
      </c>
      <c r="M12" t="s">
        <v>87</v>
      </c>
      <c r="N12">
        <v>0</v>
      </c>
      <c r="O12">
        <v>0</v>
      </c>
      <c r="P12">
        <v>200</v>
      </c>
      <c r="Q12">
        <f t="shared" si="1"/>
        <v>100</v>
      </c>
      <c r="R12">
        <v>0</v>
      </c>
      <c r="S12">
        <v>0</v>
      </c>
    </row>
    <row r="13" spans="1:19" x14ac:dyDescent="0.4">
      <c r="A13">
        <v>1010</v>
      </c>
      <c r="B13" t="s">
        <v>86</v>
      </c>
      <c r="C13" t="s">
        <v>34</v>
      </c>
      <c r="D13" t="s">
        <v>33</v>
      </c>
      <c r="E13">
        <v>10</v>
      </c>
      <c r="F13" t="s">
        <v>28</v>
      </c>
      <c r="G13">
        <v>1000</v>
      </c>
      <c r="H13">
        <f t="shared" si="0"/>
        <v>100</v>
      </c>
      <c r="I13" t="s">
        <v>27</v>
      </c>
      <c r="J13" t="s">
        <v>115</v>
      </c>
      <c r="K13">
        <v>1</v>
      </c>
      <c r="L13">
        <v>-1</v>
      </c>
      <c r="M13" t="s">
        <v>85</v>
      </c>
      <c r="N13">
        <v>0</v>
      </c>
      <c r="O13">
        <v>0</v>
      </c>
      <c r="P13">
        <v>200</v>
      </c>
      <c r="Q13">
        <f t="shared" si="1"/>
        <v>100</v>
      </c>
      <c r="R13">
        <v>0</v>
      </c>
      <c r="S13">
        <v>0</v>
      </c>
    </row>
    <row r="14" spans="1:19" x14ac:dyDescent="0.4">
      <c r="A14">
        <v>1011</v>
      </c>
      <c r="B14" t="s">
        <v>84</v>
      </c>
      <c r="C14" t="s">
        <v>30</v>
      </c>
      <c r="D14" t="s">
        <v>29</v>
      </c>
      <c r="E14">
        <v>10</v>
      </c>
      <c r="F14" t="s">
        <v>28</v>
      </c>
      <c r="G14">
        <v>2000</v>
      </c>
      <c r="H14">
        <f t="shared" si="0"/>
        <v>200</v>
      </c>
      <c r="I14" t="s">
        <v>27</v>
      </c>
      <c r="J14" t="s">
        <v>115</v>
      </c>
      <c r="K14">
        <v>1</v>
      </c>
      <c r="L14">
        <v>-1</v>
      </c>
      <c r="M14" t="s">
        <v>83</v>
      </c>
      <c r="N14">
        <v>35</v>
      </c>
      <c r="O14">
        <v>0</v>
      </c>
      <c r="P14">
        <v>0</v>
      </c>
      <c r="Q14">
        <f t="shared" si="1"/>
        <v>0</v>
      </c>
      <c r="R14">
        <v>0</v>
      </c>
      <c r="S14">
        <v>0</v>
      </c>
    </row>
    <row r="15" spans="1:19" x14ac:dyDescent="0.4">
      <c r="A15">
        <v>1012</v>
      </c>
      <c r="B15" t="s">
        <v>82</v>
      </c>
      <c r="C15" t="s">
        <v>34</v>
      </c>
      <c r="D15" t="s">
        <v>46</v>
      </c>
      <c r="E15">
        <v>20</v>
      </c>
      <c r="F15" t="s">
        <v>28</v>
      </c>
      <c r="G15">
        <v>3000</v>
      </c>
      <c r="H15">
        <f t="shared" si="0"/>
        <v>300</v>
      </c>
      <c r="I15" t="s">
        <v>27</v>
      </c>
      <c r="J15" t="s">
        <v>115</v>
      </c>
      <c r="K15">
        <v>1</v>
      </c>
      <c r="L15">
        <v>-1</v>
      </c>
      <c r="M15" t="s">
        <v>81</v>
      </c>
      <c r="N15">
        <v>0</v>
      </c>
      <c r="O15">
        <v>0</v>
      </c>
      <c r="P15">
        <v>400</v>
      </c>
      <c r="Q15">
        <f t="shared" si="1"/>
        <v>200</v>
      </c>
      <c r="R15">
        <v>0</v>
      </c>
      <c r="S15">
        <v>0</v>
      </c>
    </row>
    <row r="16" spans="1:19" x14ac:dyDescent="0.4">
      <c r="A16">
        <v>1013</v>
      </c>
      <c r="B16" t="s">
        <v>80</v>
      </c>
      <c r="C16" t="s">
        <v>34</v>
      </c>
      <c r="D16" t="s">
        <v>43</v>
      </c>
      <c r="E16">
        <v>20</v>
      </c>
      <c r="F16" t="s">
        <v>28</v>
      </c>
      <c r="G16">
        <v>3000</v>
      </c>
      <c r="H16">
        <f t="shared" si="0"/>
        <v>300</v>
      </c>
      <c r="I16" t="s">
        <v>27</v>
      </c>
      <c r="J16" t="s">
        <v>115</v>
      </c>
      <c r="K16">
        <v>1</v>
      </c>
      <c r="L16">
        <v>-1</v>
      </c>
      <c r="M16" t="s">
        <v>79</v>
      </c>
      <c r="N16">
        <v>0</v>
      </c>
      <c r="O16">
        <v>0</v>
      </c>
      <c r="P16">
        <v>800</v>
      </c>
      <c r="Q16">
        <f t="shared" si="1"/>
        <v>400</v>
      </c>
      <c r="R16">
        <v>0</v>
      </c>
      <c r="S16">
        <v>0</v>
      </c>
    </row>
    <row r="17" spans="1:19" x14ac:dyDescent="0.4">
      <c r="A17">
        <v>1014</v>
      </c>
      <c r="B17" t="s">
        <v>78</v>
      </c>
      <c r="C17" t="s">
        <v>34</v>
      </c>
      <c r="D17" t="s">
        <v>40</v>
      </c>
      <c r="E17">
        <v>20</v>
      </c>
      <c r="F17" t="s">
        <v>28</v>
      </c>
      <c r="G17">
        <v>3000</v>
      </c>
      <c r="H17">
        <f t="shared" si="0"/>
        <v>300</v>
      </c>
      <c r="I17" t="s">
        <v>27</v>
      </c>
      <c r="J17" t="s">
        <v>115</v>
      </c>
      <c r="K17">
        <v>1</v>
      </c>
      <c r="L17">
        <v>-1</v>
      </c>
      <c r="M17" t="s">
        <v>77</v>
      </c>
      <c r="N17">
        <v>0</v>
      </c>
      <c r="O17">
        <v>0</v>
      </c>
      <c r="P17">
        <v>800</v>
      </c>
      <c r="Q17">
        <f t="shared" si="1"/>
        <v>400</v>
      </c>
      <c r="R17">
        <v>0</v>
      </c>
      <c r="S17">
        <v>0</v>
      </c>
    </row>
    <row r="18" spans="1:19" x14ac:dyDescent="0.4">
      <c r="A18">
        <v>1015</v>
      </c>
      <c r="B18" t="s">
        <v>76</v>
      </c>
      <c r="C18" t="s">
        <v>34</v>
      </c>
      <c r="D18" t="s">
        <v>37</v>
      </c>
      <c r="E18">
        <v>20</v>
      </c>
      <c r="F18" t="s">
        <v>28</v>
      </c>
      <c r="G18">
        <v>3000</v>
      </c>
      <c r="H18">
        <f t="shared" si="0"/>
        <v>300</v>
      </c>
      <c r="I18" t="s">
        <v>27</v>
      </c>
      <c r="J18" t="s">
        <v>115</v>
      </c>
      <c r="K18">
        <v>1</v>
      </c>
      <c r="L18">
        <v>-1</v>
      </c>
      <c r="M18" t="s">
        <v>75</v>
      </c>
      <c r="N18">
        <v>0</v>
      </c>
      <c r="O18">
        <v>0</v>
      </c>
      <c r="P18">
        <v>400</v>
      </c>
      <c r="Q18">
        <f t="shared" si="1"/>
        <v>200</v>
      </c>
      <c r="R18">
        <v>0</v>
      </c>
      <c r="S18">
        <v>0</v>
      </c>
    </row>
    <row r="19" spans="1:19" x14ac:dyDescent="0.4">
      <c r="A19">
        <v>1016</v>
      </c>
      <c r="B19" t="s">
        <v>74</v>
      </c>
      <c r="C19" t="s">
        <v>34</v>
      </c>
      <c r="D19" t="s">
        <v>33</v>
      </c>
      <c r="E19">
        <v>20</v>
      </c>
      <c r="F19" t="s">
        <v>28</v>
      </c>
      <c r="G19">
        <v>3000</v>
      </c>
      <c r="H19">
        <f t="shared" si="0"/>
        <v>300</v>
      </c>
      <c r="I19" t="s">
        <v>27</v>
      </c>
      <c r="J19" t="s">
        <v>115</v>
      </c>
      <c r="K19">
        <v>1</v>
      </c>
      <c r="L19">
        <v>-1</v>
      </c>
      <c r="M19" t="s">
        <v>73</v>
      </c>
      <c r="N19">
        <v>0</v>
      </c>
      <c r="O19">
        <v>0</v>
      </c>
      <c r="P19">
        <v>400</v>
      </c>
      <c r="Q19">
        <f t="shared" si="1"/>
        <v>200</v>
      </c>
      <c r="R19">
        <v>0</v>
      </c>
      <c r="S19">
        <v>0</v>
      </c>
    </row>
    <row r="20" spans="1:19" x14ac:dyDescent="0.4">
      <c r="A20">
        <v>1017</v>
      </c>
      <c r="B20" t="s">
        <v>72</v>
      </c>
      <c r="C20" t="s">
        <v>30</v>
      </c>
      <c r="D20" t="s">
        <v>29</v>
      </c>
      <c r="E20">
        <v>20</v>
      </c>
      <c r="F20" t="s">
        <v>28</v>
      </c>
      <c r="G20">
        <v>5000</v>
      </c>
      <c r="H20">
        <f t="shared" si="0"/>
        <v>500</v>
      </c>
      <c r="I20" t="s">
        <v>27</v>
      </c>
      <c r="J20" t="s">
        <v>115</v>
      </c>
      <c r="K20">
        <v>1</v>
      </c>
      <c r="L20">
        <v>-1</v>
      </c>
      <c r="M20" t="s">
        <v>71</v>
      </c>
      <c r="N20">
        <v>80</v>
      </c>
      <c r="O20">
        <v>0</v>
      </c>
      <c r="P20">
        <v>0</v>
      </c>
      <c r="Q20">
        <f t="shared" si="1"/>
        <v>0</v>
      </c>
      <c r="R20">
        <v>0</v>
      </c>
      <c r="S20">
        <v>0</v>
      </c>
    </row>
    <row r="21" spans="1:19" x14ac:dyDescent="0.4">
      <c r="A21">
        <v>1018</v>
      </c>
      <c r="B21" t="s">
        <v>70</v>
      </c>
      <c r="C21" t="s">
        <v>34</v>
      </c>
      <c r="D21" t="s">
        <v>46</v>
      </c>
      <c r="E21">
        <v>30</v>
      </c>
      <c r="F21" t="s">
        <v>28</v>
      </c>
      <c r="G21">
        <v>8000</v>
      </c>
      <c r="H21">
        <f t="shared" si="0"/>
        <v>800</v>
      </c>
      <c r="I21" t="s">
        <v>27</v>
      </c>
      <c r="J21" t="s">
        <v>115</v>
      </c>
      <c r="K21">
        <v>1</v>
      </c>
      <c r="L21">
        <v>-1</v>
      </c>
      <c r="M21" t="s">
        <v>69</v>
      </c>
      <c r="N21">
        <v>0</v>
      </c>
      <c r="O21">
        <v>0</v>
      </c>
      <c r="P21">
        <v>800</v>
      </c>
      <c r="Q21">
        <f t="shared" si="1"/>
        <v>400</v>
      </c>
      <c r="R21">
        <v>0</v>
      </c>
      <c r="S21">
        <v>0</v>
      </c>
    </row>
    <row r="22" spans="1:19" x14ac:dyDescent="0.4">
      <c r="A22">
        <v>1019</v>
      </c>
      <c r="B22" t="s">
        <v>68</v>
      </c>
      <c r="C22" t="s">
        <v>34</v>
      </c>
      <c r="D22" t="s">
        <v>43</v>
      </c>
      <c r="E22">
        <v>30</v>
      </c>
      <c r="F22" t="s">
        <v>28</v>
      </c>
      <c r="G22">
        <v>8000</v>
      </c>
      <c r="H22">
        <f t="shared" si="0"/>
        <v>800</v>
      </c>
      <c r="I22" t="s">
        <v>27</v>
      </c>
      <c r="J22" t="s">
        <v>115</v>
      </c>
      <c r="K22">
        <v>1</v>
      </c>
      <c r="L22">
        <v>-1</v>
      </c>
      <c r="M22" t="s">
        <v>67</v>
      </c>
      <c r="N22">
        <v>0</v>
      </c>
      <c r="O22">
        <v>0</v>
      </c>
      <c r="P22">
        <v>1600</v>
      </c>
      <c r="Q22">
        <f t="shared" si="1"/>
        <v>800</v>
      </c>
      <c r="R22">
        <v>0</v>
      </c>
      <c r="S22">
        <v>0</v>
      </c>
    </row>
    <row r="23" spans="1:19" x14ac:dyDescent="0.4">
      <c r="A23">
        <v>1020</v>
      </c>
      <c r="B23" t="s">
        <v>66</v>
      </c>
      <c r="C23" t="s">
        <v>34</v>
      </c>
      <c r="D23" t="s">
        <v>40</v>
      </c>
      <c r="E23">
        <v>30</v>
      </c>
      <c r="F23" t="s">
        <v>28</v>
      </c>
      <c r="G23">
        <v>8000</v>
      </c>
      <c r="H23">
        <f t="shared" si="0"/>
        <v>800</v>
      </c>
      <c r="I23" t="s">
        <v>27</v>
      </c>
      <c r="J23" t="s">
        <v>115</v>
      </c>
      <c r="K23">
        <v>1</v>
      </c>
      <c r="L23">
        <v>-1</v>
      </c>
      <c r="M23" t="s">
        <v>65</v>
      </c>
      <c r="N23">
        <v>0</v>
      </c>
      <c r="O23">
        <v>0</v>
      </c>
      <c r="P23">
        <v>1600</v>
      </c>
      <c r="Q23">
        <f t="shared" si="1"/>
        <v>800</v>
      </c>
      <c r="R23">
        <v>0</v>
      </c>
      <c r="S23">
        <v>0</v>
      </c>
    </row>
    <row r="24" spans="1:19" x14ac:dyDescent="0.4">
      <c r="A24">
        <v>1021</v>
      </c>
      <c r="B24" t="s">
        <v>64</v>
      </c>
      <c r="C24" t="s">
        <v>34</v>
      </c>
      <c r="D24" t="s">
        <v>37</v>
      </c>
      <c r="E24">
        <v>30</v>
      </c>
      <c r="F24" t="s">
        <v>28</v>
      </c>
      <c r="G24">
        <v>8000</v>
      </c>
      <c r="H24">
        <f t="shared" si="0"/>
        <v>800</v>
      </c>
      <c r="I24" t="s">
        <v>27</v>
      </c>
      <c r="J24" t="s">
        <v>115</v>
      </c>
      <c r="K24">
        <v>1</v>
      </c>
      <c r="L24">
        <v>-1</v>
      </c>
      <c r="M24" t="s">
        <v>63</v>
      </c>
      <c r="N24">
        <v>0</v>
      </c>
      <c r="O24">
        <v>0</v>
      </c>
      <c r="P24">
        <v>800</v>
      </c>
      <c r="Q24">
        <f t="shared" si="1"/>
        <v>400</v>
      </c>
      <c r="R24">
        <v>0</v>
      </c>
      <c r="S24">
        <v>0</v>
      </c>
    </row>
    <row r="25" spans="1:19" x14ac:dyDescent="0.4">
      <c r="A25">
        <v>1022</v>
      </c>
      <c r="B25" t="s">
        <v>62</v>
      </c>
      <c r="C25" t="s">
        <v>34</v>
      </c>
      <c r="D25" t="s">
        <v>33</v>
      </c>
      <c r="E25">
        <v>30</v>
      </c>
      <c r="F25" t="s">
        <v>28</v>
      </c>
      <c r="G25">
        <v>8000</v>
      </c>
      <c r="H25">
        <f t="shared" si="0"/>
        <v>800</v>
      </c>
      <c r="I25" t="s">
        <v>27</v>
      </c>
      <c r="J25" t="s">
        <v>115</v>
      </c>
      <c r="K25">
        <v>1</v>
      </c>
      <c r="L25">
        <v>-1</v>
      </c>
      <c r="M25" t="s">
        <v>61</v>
      </c>
      <c r="N25">
        <v>0</v>
      </c>
      <c r="O25">
        <v>0</v>
      </c>
      <c r="P25">
        <v>800</v>
      </c>
      <c r="Q25">
        <f t="shared" si="1"/>
        <v>400</v>
      </c>
      <c r="R25">
        <v>0</v>
      </c>
      <c r="S25">
        <v>0</v>
      </c>
    </row>
    <row r="26" spans="1:19" x14ac:dyDescent="0.4">
      <c r="A26">
        <v>1023</v>
      </c>
      <c r="B26" t="s">
        <v>60</v>
      </c>
      <c r="C26" t="s">
        <v>30</v>
      </c>
      <c r="D26" t="s">
        <v>29</v>
      </c>
      <c r="E26">
        <v>30</v>
      </c>
      <c r="F26" t="s">
        <v>28</v>
      </c>
      <c r="G26">
        <v>15000</v>
      </c>
      <c r="H26">
        <f t="shared" si="0"/>
        <v>1500</v>
      </c>
      <c r="I26" t="s">
        <v>27</v>
      </c>
      <c r="J26" t="s">
        <v>115</v>
      </c>
      <c r="K26">
        <v>1</v>
      </c>
      <c r="L26">
        <v>-1</v>
      </c>
      <c r="M26" t="s">
        <v>59</v>
      </c>
      <c r="N26">
        <v>120</v>
      </c>
      <c r="O26">
        <v>0</v>
      </c>
      <c r="P26">
        <v>0</v>
      </c>
      <c r="Q26">
        <f t="shared" si="1"/>
        <v>0</v>
      </c>
      <c r="R26">
        <v>0</v>
      </c>
      <c r="S26">
        <v>0</v>
      </c>
    </row>
    <row r="27" spans="1:19" x14ac:dyDescent="0.4">
      <c r="A27">
        <v>1024</v>
      </c>
      <c r="B27" t="s">
        <v>58</v>
      </c>
      <c r="C27" t="s">
        <v>34</v>
      </c>
      <c r="D27" t="s">
        <v>46</v>
      </c>
      <c r="E27">
        <v>40</v>
      </c>
      <c r="F27" t="s">
        <v>28</v>
      </c>
      <c r="G27">
        <v>12000</v>
      </c>
      <c r="H27">
        <f t="shared" si="0"/>
        <v>1200</v>
      </c>
      <c r="I27" t="s">
        <v>27</v>
      </c>
      <c r="J27" t="s">
        <v>115</v>
      </c>
      <c r="K27">
        <v>1</v>
      </c>
      <c r="L27">
        <v>-1</v>
      </c>
      <c r="M27" t="s">
        <v>57</v>
      </c>
      <c r="N27">
        <v>0</v>
      </c>
      <c r="O27">
        <v>0</v>
      </c>
      <c r="P27">
        <v>1600</v>
      </c>
      <c r="Q27">
        <f t="shared" si="1"/>
        <v>800</v>
      </c>
      <c r="R27">
        <v>0</v>
      </c>
      <c r="S27">
        <v>0</v>
      </c>
    </row>
    <row r="28" spans="1:19" x14ac:dyDescent="0.4">
      <c r="A28">
        <v>1025</v>
      </c>
      <c r="B28" t="s">
        <v>56</v>
      </c>
      <c r="C28" t="s">
        <v>34</v>
      </c>
      <c r="D28" t="s">
        <v>43</v>
      </c>
      <c r="E28">
        <v>40</v>
      </c>
      <c r="F28" t="s">
        <v>28</v>
      </c>
      <c r="G28">
        <v>12000</v>
      </c>
      <c r="H28">
        <f t="shared" si="0"/>
        <v>1200</v>
      </c>
      <c r="I28" t="s">
        <v>27</v>
      </c>
      <c r="J28" t="s">
        <v>115</v>
      </c>
      <c r="K28">
        <v>1</v>
      </c>
      <c r="L28">
        <v>-1</v>
      </c>
      <c r="M28" t="s">
        <v>55</v>
      </c>
      <c r="N28">
        <v>0</v>
      </c>
      <c r="O28">
        <v>0</v>
      </c>
      <c r="P28">
        <v>3200</v>
      </c>
      <c r="Q28">
        <f t="shared" si="1"/>
        <v>1600</v>
      </c>
      <c r="R28">
        <v>0</v>
      </c>
      <c r="S28">
        <v>0</v>
      </c>
    </row>
    <row r="29" spans="1:19" x14ac:dyDescent="0.4">
      <c r="A29">
        <v>1026</v>
      </c>
      <c r="B29" t="s">
        <v>54</v>
      </c>
      <c r="C29" t="s">
        <v>34</v>
      </c>
      <c r="D29" t="s">
        <v>40</v>
      </c>
      <c r="E29">
        <v>40</v>
      </c>
      <c r="F29" t="s">
        <v>28</v>
      </c>
      <c r="G29">
        <v>12000</v>
      </c>
      <c r="H29">
        <f t="shared" si="0"/>
        <v>1200</v>
      </c>
      <c r="I29" t="s">
        <v>27</v>
      </c>
      <c r="J29" t="s">
        <v>115</v>
      </c>
      <c r="K29">
        <v>1</v>
      </c>
      <c r="L29">
        <v>-1</v>
      </c>
      <c r="M29" t="s">
        <v>53</v>
      </c>
      <c r="N29">
        <v>0</v>
      </c>
      <c r="O29">
        <v>0</v>
      </c>
      <c r="P29">
        <v>3200</v>
      </c>
      <c r="Q29">
        <f t="shared" si="1"/>
        <v>1600</v>
      </c>
      <c r="R29">
        <v>0</v>
      </c>
      <c r="S29">
        <v>0</v>
      </c>
    </row>
    <row r="30" spans="1:19" x14ac:dyDescent="0.4">
      <c r="A30">
        <v>1027</v>
      </c>
      <c r="B30" t="s">
        <v>52</v>
      </c>
      <c r="C30" t="s">
        <v>34</v>
      </c>
      <c r="D30" t="s">
        <v>37</v>
      </c>
      <c r="E30">
        <v>40</v>
      </c>
      <c r="F30" t="s">
        <v>28</v>
      </c>
      <c r="G30">
        <v>12000</v>
      </c>
      <c r="H30">
        <f t="shared" si="0"/>
        <v>1200</v>
      </c>
      <c r="I30" t="s">
        <v>27</v>
      </c>
      <c r="J30" t="s">
        <v>115</v>
      </c>
      <c r="K30">
        <v>1</v>
      </c>
      <c r="L30">
        <v>-1</v>
      </c>
      <c r="M30" t="s">
        <v>51</v>
      </c>
      <c r="N30">
        <v>0</v>
      </c>
      <c r="O30">
        <v>0</v>
      </c>
      <c r="P30">
        <v>1600</v>
      </c>
      <c r="Q30">
        <f t="shared" si="1"/>
        <v>800</v>
      </c>
      <c r="R30">
        <v>0</v>
      </c>
      <c r="S30">
        <v>0</v>
      </c>
    </row>
    <row r="31" spans="1:19" x14ac:dyDescent="0.4">
      <c r="A31">
        <v>1028</v>
      </c>
      <c r="B31" t="s">
        <v>50</v>
      </c>
      <c r="C31" t="s">
        <v>34</v>
      </c>
      <c r="D31" t="s">
        <v>33</v>
      </c>
      <c r="E31">
        <v>40</v>
      </c>
      <c r="F31" t="s">
        <v>28</v>
      </c>
      <c r="G31">
        <v>12000</v>
      </c>
      <c r="H31">
        <f t="shared" si="0"/>
        <v>1200</v>
      </c>
      <c r="I31" t="s">
        <v>27</v>
      </c>
      <c r="J31" t="s">
        <v>115</v>
      </c>
      <c r="K31">
        <v>1</v>
      </c>
      <c r="L31">
        <v>-1</v>
      </c>
      <c r="M31" t="s">
        <v>49</v>
      </c>
      <c r="N31">
        <v>0</v>
      </c>
      <c r="O31">
        <v>0</v>
      </c>
      <c r="P31">
        <v>1600</v>
      </c>
      <c r="Q31">
        <f t="shared" si="1"/>
        <v>800</v>
      </c>
      <c r="R31">
        <v>0</v>
      </c>
      <c r="S31">
        <v>0</v>
      </c>
    </row>
    <row r="32" spans="1:19" x14ac:dyDescent="0.4">
      <c r="A32">
        <v>1029</v>
      </c>
      <c r="B32" t="s">
        <v>48</v>
      </c>
      <c r="C32" t="s">
        <v>30</v>
      </c>
      <c r="D32" t="s">
        <v>29</v>
      </c>
      <c r="E32">
        <v>40</v>
      </c>
      <c r="F32" t="s">
        <v>28</v>
      </c>
      <c r="G32">
        <v>20000</v>
      </c>
      <c r="H32">
        <f t="shared" si="0"/>
        <v>2000</v>
      </c>
      <c r="I32" t="s">
        <v>27</v>
      </c>
      <c r="J32" t="s">
        <v>115</v>
      </c>
      <c r="K32">
        <v>1</v>
      </c>
      <c r="L32">
        <v>-1</v>
      </c>
      <c r="M32" t="s">
        <v>117</v>
      </c>
      <c r="N32">
        <v>180</v>
      </c>
      <c r="O32">
        <v>0</v>
      </c>
      <c r="P32">
        <v>0</v>
      </c>
      <c r="Q32">
        <f t="shared" si="1"/>
        <v>0</v>
      </c>
      <c r="R32">
        <v>0</v>
      </c>
      <c r="S32">
        <v>0</v>
      </c>
    </row>
    <row r="33" spans="1:19" x14ac:dyDescent="0.4">
      <c r="A33">
        <v>1030</v>
      </c>
      <c r="B33" t="s">
        <v>47</v>
      </c>
      <c r="C33" t="s">
        <v>34</v>
      </c>
      <c r="D33" t="s">
        <v>46</v>
      </c>
      <c r="E33">
        <v>50</v>
      </c>
      <c r="F33" t="s">
        <v>28</v>
      </c>
      <c r="G33">
        <v>35000</v>
      </c>
      <c r="H33">
        <f t="shared" si="0"/>
        <v>3500</v>
      </c>
      <c r="I33" t="s">
        <v>27</v>
      </c>
      <c r="J33" t="s">
        <v>115</v>
      </c>
      <c r="K33">
        <v>1</v>
      </c>
      <c r="L33">
        <v>-1</v>
      </c>
      <c r="M33" t="s">
        <v>45</v>
      </c>
      <c r="N33">
        <v>0</v>
      </c>
      <c r="O33">
        <v>0</v>
      </c>
      <c r="P33">
        <v>4000</v>
      </c>
      <c r="Q33">
        <f t="shared" si="1"/>
        <v>2000</v>
      </c>
      <c r="R33">
        <v>0</v>
      </c>
      <c r="S33">
        <v>0</v>
      </c>
    </row>
    <row r="34" spans="1:19" x14ac:dyDescent="0.4">
      <c r="A34">
        <v>1031</v>
      </c>
      <c r="B34" t="s">
        <v>44</v>
      </c>
      <c r="C34" t="s">
        <v>34</v>
      </c>
      <c r="D34" t="s">
        <v>43</v>
      </c>
      <c r="E34">
        <v>50</v>
      </c>
      <c r="F34" t="s">
        <v>28</v>
      </c>
      <c r="G34">
        <v>35000</v>
      </c>
      <c r="H34">
        <f t="shared" si="0"/>
        <v>3500</v>
      </c>
      <c r="I34" t="s">
        <v>27</v>
      </c>
      <c r="J34" t="s">
        <v>115</v>
      </c>
      <c r="K34">
        <v>1</v>
      </c>
      <c r="L34">
        <v>-1</v>
      </c>
      <c r="M34" t="s">
        <v>42</v>
      </c>
      <c r="N34">
        <v>0</v>
      </c>
      <c r="O34">
        <v>0</v>
      </c>
      <c r="P34">
        <v>8000</v>
      </c>
      <c r="Q34">
        <f t="shared" si="1"/>
        <v>4000</v>
      </c>
      <c r="R34">
        <v>0</v>
      </c>
      <c r="S34">
        <v>0</v>
      </c>
    </row>
    <row r="35" spans="1:19" x14ac:dyDescent="0.4">
      <c r="A35">
        <v>1032</v>
      </c>
      <c r="B35" t="s">
        <v>41</v>
      </c>
      <c r="C35" t="s">
        <v>34</v>
      </c>
      <c r="D35" t="s">
        <v>40</v>
      </c>
      <c r="E35">
        <v>50</v>
      </c>
      <c r="F35" t="s">
        <v>28</v>
      </c>
      <c r="G35">
        <v>35000</v>
      </c>
      <c r="H35">
        <f t="shared" si="0"/>
        <v>3500</v>
      </c>
      <c r="I35" t="s">
        <v>27</v>
      </c>
      <c r="J35" t="s">
        <v>115</v>
      </c>
      <c r="K35">
        <v>1</v>
      </c>
      <c r="L35">
        <v>-1</v>
      </c>
      <c r="M35" t="s">
        <v>39</v>
      </c>
      <c r="N35">
        <v>0</v>
      </c>
      <c r="O35">
        <v>0</v>
      </c>
      <c r="P35">
        <v>8000</v>
      </c>
      <c r="Q35">
        <f t="shared" si="1"/>
        <v>4000</v>
      </c>
      <c r="R35">
        <v>0</v>
      </c>
      <c r="S35">
        <v>0</v>
      </c>
    </row>
    <row r="36" spans="1:19" x14ac:dyDescent="0.4">
      <c r="A36">
        <v>1033</v>
      </c>
      <c r="B36" t="s">
        <v>38</v>
      </c>
      <c r="C36" t="s">
        <v>34</v>
      </c>
      <c r="D36" t="s">
        <v>37</v>
      </c>
      <c r="E36">
        <v>50</v>
      </c>
      <c r="F36" t="s">
        <v>28</v>
      </c>
      <c r="G36">
        <v>35000</v>
      </c>
      <c r="H36">
        <f t="shared" si="0"/>
        <v>3500</v>
      </c>
      <c r="I36" t="s">
        <v>27</v>
      </c>
      <c r="J36" t="s">
        <v>115</v>
      </c>
      <c r="K36">
        <v>1</v>
      </c>
      <c r="L36">
        <v>-1</v>
      </c>
      <c r="M36" t="s">
        <v>36</v>
      </c>
      <c r="N36">
        <v>0</v>
      </c>
      <c r="O36">
        <v>0</v>
      </c>
      <c r="P36">
        <v>4000</v>
      </c>
      <c r="Q36">
        <f t="shared" si="1"/>
        <v>2000</v>
      </c>
      <c r="R36">
        <v>0</v>
      </c>
      <c r="S36">
        <v>0</v>
      </c>
    </row>
    <row r="37" spans="1:19" x14ac:dyDescent="0.4">
      <c r="A37">
        <v>1034</v>
      </c>
      <c r="B37" t="s">
        <v>35</v>
      </c>
      <c r="C37" t="s">
        <v>34</v>
      </c>
      <c r="D37" t="s">
        <v>33</v>
      </c>
      <c r="E37">
        <v>50</v>
      </c>
      <c r="F37" t="s">
        <v>28</v>
      </c>
      <c r="G37">
        <v>35000</v>
      </c>
      <c r="H37">
        <f t="shared" si="0"/>
        <v>3500</v>
      </c>
      <c r="I37" t="s">
        <v>27</v>
      </c>
      <c r="J37" t="s">
        <v>115</v>
      </c>
      <c r="K37">
        <v>1</v>
      </c>
      <c r="L37">
        <v>-1</v>
      </c>
      <c r="M37" t="s">
        <v>32</v>
      </c>
      <c r="N37">
        <v>0</v>
      </c>
      <c r="O37">
        <v>0</v>
      </c>
      <c r="P37">
        <v>4000</v>
      </c>
      <c r="Q37">
        <f t="shared" si="1"/>
        <v>2000</v>
      </c>
      <c r="R37">
        <v>0</v>
      </c>
      <c r="S37">
        <v>0</v>
      </c>
    </row>
    <row r="38" spans="1:19" x14ac:dyDescent="0.4">
      <c r="A38">
        <v>1035</v>
      </c>
      <c r="B38" t="s">
        <v>31</v>
      </c>
      <c r="C38" t="s">
        <v>30</v>
      </c>
      <c r="D38" t="s">
        <v>29</v>
      </c>
      <c r="E38">
        <v>50</v>
      </c>
      <c r="F38" t="s">
        <v>28</v>
      </c>
      <c r="G38">
        <v>80000</v>
      </c>
      <c r="H38">
        <f t="shared" si="0"/>
        <v>8000</v>
      </c>
      <c r="I38" t="s">
        <v>27</v>
      </c>
      <c r="J38" t="s">
        <v>115</v>
      </c>
      <c r="K38">
        <v>1</v>
      </c>
      <c r="L38">
        <v>-1</v>
      </c>
      <c r="M38" t="s">
        <v>26</v>
      </c>
      <c r="N38">
        <v>300</v>
      </c>
      <c r="O38">
        <v>0</v>
      </c>
      <c r="P38">
        <v>0</v>
      </c>
      <c r="Q38">
        <f t="shared" si="1"/>
        <v>0</v>
      </c>
      <c r="R38">
        <v>0</v>
      </c>
      <c r="S38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08D5-5B4B-40C3-9807-A1000646DEFB}">
  <dimension ref="A1:O5"/>
  <sheetViews>
    <sheetView topLeftCell="I1" workbookViewId="0">
      <selection activeCell="N1" sqref="N1:N1048576"/>
    </sheetView>
  </sheetViews>
  <sheetFormatPr defaultRowHeight="17.399999999999999" x14ac:dyDescent="0.4"/>
  <cols>
    <col min="1" max="1" width="7.296875" bestFit="1" customWidth="1"/>
    <col min="2" max="2" width="10.69921875" bestFit="1" customWidth="1"/>
    <col min="3" max="3" width="13.69921875" bestFit="1" customWidth="1"/>
    <col min="4" max="4" width="12.5" bestFit="1" customWidth="1"/>
    <col min="5" max="5" width="16.296875" bestFit="1" customWidth="1"/>
    <col min="6" max="6" width="16.3984375" bestFit="1" customWidth="1"/>
    <col min="7" max="7" width="9.19921875" bestFit="1" customWidth="1"/>
    <col min="9" max="9" width="7.3984375" bestFit="1" customWidth="1"/>
    <col min="12" max="12" width="9.3984375" bestFit="1" customWidth="1"/>
    <col min="13" max="13" width="39.09765625" bestFit="1" customWidth="1"/>
    <col min="14" max="14" width="10" bestFit="1" customWidth="1"/>
    <col min="15" max="15" width="10.69921875" bestFit="1" customWidth="1"/>
  </cols>
  <sheetData>
    <row r="1" spans="1:15" x14ac:dyDescent="0.4">
      <c r="A1" t="s">
        <v>25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2</v>
      </c>
      <c r="H1" t="s">
        <v>3</v>
      </c>
      <c r="I1" t="s">
        <v>10</v>
      </c>
      <c r="J1" t="s">
        <v>114</v>
      </c>
      <c r="K1" t="s">
        <v>1</v>
      </c>
      <c r="L1" t="s">
        <v>5</v>
      </c>
      <c r="M1" t="s">
        <v>4</v>
      </c>
      <c r="N1" t="s">
        <v>11</v>
      </c>
      <c r="O1" t="s">
        <v>12</v>
      </c>
    </row>
    <row r="2" spans="1:15" x14ac:dyDescent="0.4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14</v>
      </c>
      <c r="N2" t="s">
        <v>13</v>
      </c>
      <c r="O2" t="s">
        <v>13</v>
      </c>
    </row>
    <row r="3" spans="1:15" x14ac:dyDescent="0.4">
      <c r="A3">
        <v>2000</v>
      </c>
      <c r="B3" t="s">
        <v>15</v>
      </c>
      <c r="C3" t="s">
        <v>19</v>
      </c>
      <c r="D3" t="s">
        <v>18</v>
      </c>
      <c r="E3">
        <v>0</v>
      </c>
      <c r="F3" t="s">
        <v>20</v>
      </c>
      <c r="G3">
        <v>150</v>
      </c>
      <c r="H3">
        <f>G3/10</f>
        <v>15</v>
      </c>
      <c r="I3" t="s">
        <v>21</v>
      </c>
      <c r="J3" t="s">
        <v>21</v>
      </c>
      <c r="K3">
        <v>10</v>
      </c>
      <c r="L3">
        <v>10</v>
      </c>
      <c r="M3" t="s">
        <v>23</v>
      </c>
      <c r="N3">
        <v>0.3</v>
      </c>
      <c r="O3">
        <v>0</v>
      </c>
    </row>
    <row r="4" spans="1:15" x14ac:dyDescent="0.4">
      <c r="A4">
        <v>2001</v>
      </c>
      <c r="B4" t="s">
        <v>16</v>
      </c>
      <c r="C4" t="s">
        <v>19</v>
      </c>
      <c r="D4" t="s">
        <v>18</v>
      </c>
      <c r="E4">
        <v>0</v>
      </c>
      <c r="F4" t="s">
        <v>20</v>
      </c>
      <c r="G4">
        <v>150</v>
      </c>
      <c r="H4">
        <f t="shared" ref="H4:H5" si="0">G4/10</f>
        <v>15</v>
      </c>
      <c r="I4" t="s">
        <v>21</v>
      </c>
      <c r="J4" t="s">
        <v>21</v>
      </c>
      <c r="K4">
        <v>10</v>
      </c>
      <c r="L4">
        <v>10</v>
      </c>
      <c r="M4" t="s">
        <v>22</v>
      </c>
      <c r="N4">
        <v>0</v>
      </c>
      <c r="O4">
        <v>0.3</v>
      </c>
    </row>
    <row r="5" spans="1:15" x14ac:dyDescent="0.4">
      <c r="A5">
        <v>2002</v>
      </c>
      <c r="B5" t="s">
        <v>17</v>
      </c>
      <c r="C5" t="s">
        <v>19</v>
      </c>
      <c r="D5" t="s">
        <v>18</v>
      </c>
      <c r="E5">
        <v>0</v>
      </c>
      <c r="F5" t="s">
        <v>20</v>
      </c>
      <c r="G5">
        <v>250</v>
      </c>
      <c r="H5">
        <f t="shared" si="0"/>
        <v>25</v>
      </c>
      <c r="I5" t="s">
        <v>21</v>
      </c>
      <c r="J5" t="s">
        <v>21</v>
      </c>
      <c r="K5">
        <v>10</v>
      </c>
      <c r="L5">
        <v>10</v>
      </c>
      <c r="M5" t="s">
        <v>24</v>
      </c>
      <c r="N5">
        <v>0.4</v>
      </c>
      <c r="O5">
        <v>0.4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5201-2628-4823-B6D1-8A4642A35A02}">
  <dimension ref="A1:O2"/>
  <sheetViews>
    <sheetView tabSelected="1" workbookViewId="0">
      <selection activeCell="N1" sqref="N1:N1048576"/>
    </sheetView>
  </sheetViews>
  <sheetFormatPr defaultRowHeight="17.399999999999999" x14ac:dyDescent="0.4"/>
  <cols>
    <col min="22" max="22" width="10.3984375" bestFit="1" customWidth="1"/>
  </cols>
  <sheetData>
    <row r="1" spans="1:15" x14ac:dyDescent="0.4">
      <c r="A1" t="s">
        <v>25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2</v>
      </c>
      <c r="H1" t="s">
        <v>3</v>
      </c>
      <c r="I1" t="s">
        <v>10</v>
      </c>
      <c r="J1" t="s">
        <v>114</v>
      </c>
      <c r="K1" t="s">
        <v>1</v>
      </c>
      <c r="L1" t="s">
        <v>5</v>
      </c>
      <c r="M1" t="s">
        <v>4</v>
      </c>
      <c r="N1" t="s">
        <v>11</v>
      </c>
      <c r="O1" t="s">
        <v>12</v>
      </c>
    </row>
    <row r="2" spans="1:15" x14ac:dyDescent="0.4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14</v>
      </c>
      <c r="N2" t="s">
        <v>13</v>
      </c>
      <c r="O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전사 장비(1000~1999)</vt:lpstr>
      <vt:lpstr>소비(2000~2999)</vt:lpstr>
      <vt:lpstr>기타(3000~3999)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2025-08-09T18:04:18Z</dcterms:created>
  <dcterms:modified xsi:type="dcterms:W3CDTF">2026-09-28T16:33:02Z</dcterms:modified>
</cp:coreProperties>
</file>