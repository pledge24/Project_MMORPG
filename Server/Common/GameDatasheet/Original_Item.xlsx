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mwps\Desktop\Project_MMORPG\Server\Common\GameDatasheet\"/>
    </mc:Choice>
  </mc:AlternateContent>
  <xr:revisionPtr revIDLastSave="0" documentId="13_ncr:1_{DAE28053-EBBB-4FD1-8C4F-EB95BC9B55DB}" xr6:coauthVersionLast="47" xr6:coauthVersionMax="47" xr10:uidLastSave="{00000000-0000-0000-0000-000000000000}"/>
  <bookViews>
    <workbookView xWindow="-108" yWindow="-108" windowWidth="30936" windowHeight="16896" xr2:uid="{FDA0E9BE-2965-48E7-917D-7535984AEDF4}"/>
  </bookViews>
  <sheets>
    <sheet name="소비(2000~2999)" sheetId="2" r:id="rId1"/>
    <sheet name="기타(3000~3999)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" i="2" l="1"/>
  <c r="I5" i="2"/>
  <c r="I3" i="2"/>
</calcChain>
</file>

<file path=xl/sharedStrings.xml><?xml version="1.0" encoding="utf-8"?>
<sst xmlns="http://schemas.openxmlformats.org/spreadsheetml/2006/main" count="99" uniqueCount="39">
  <si>
    <t>class_requirement</t>
  </si>
  <si>
    <t>max_stack</t>
  </si>
  <si>
    <t>buy_price</t>
  </si>
  <si>
    <t>sell_price</t>
  </si>
  <si>
    <t>base_attack</t>
  </si>
  <si>
    <t>base_magic_attack</t>
  </si>
  <si>
    <t>hp_bonus</t>
  </si>
  <si>
    <t>mp_bonus</t>
  </si>
  <si>
    <t>description</t>
  </si>
  <si>
    <t>quest_item</t>
  </si>
  <si>
    <t>cooldown</t>
  </si>
  <si>
    <t>vendor_npc_id</t>
  </si>
  <si>
    <t>item_name</t>
    <phoneticPr fontId="1" type="noConversion"/>
  </si>
  <si>
    <t>item_type</t>
    <phoneticPr fontId="1" type="noConversion"/>
  </si>
  <si>
    <t>item_subtype</t>
    <phoneticPr fontId="1" type="noConversion"/>
  </si>
  <si>
    <t>level_requirement</t>
    <phoneticPr fontId="1" type="noConversion"/>
  </si>
  <si>
    <t>sellable</t>
    <phoneticPr fontId="1" type="noConversion"/>
  </si>
  <si>
    <t>consumable</t>
    <phoneticPr fontId="1" type="noConversion"/>
  </si>
  <si>
    <t>hp_restore</t>
    <phoneticPr fontId="1" type="noConversion"/>
  </si>
  <si>
    <t>mp_restore</t>
    <phoneticPr fontId="1" type="noConversion"/>
  </si>
  <si>
    <t>BOTH</t>
    <phoneticPr fontId="1" type="noConversion"/>
  </si>
  <si>
    <t>CLIENT</t>
    <phoneticPr fontId="1" type="noConversion"/>
  </si>
  <si>
    <t>equippable</t>
    <phoneticPr fontId="1" type="noConversion"/>
  </si>
  <si>
    <t>equipment_slot_id</t>
    <phoneticPr fontId="1" type="noConversion"/>
  </si>
  <si>
    <t>"HP 물약"</t>
    <phoneticPr fontId="1" type="noConversion"/>
  </si>
  <si>
    <t>"MP 물약"</t>
    <phoneticPr fontId="1" type="noConversion"/>
  </si>
  <si>
    <t>"복합 물약"</t>
    <phoneticPr fontId="1" type="noConversion"/>
  </si>
  <si>
    <t>"potion"</t>
    <phoneticPr fontId="1" type="noConversion"/>
  </si>
  <si>
    <t>"consumption"</t>
    <phoneticPr fontId="1" type="noConversion"/>
  </si>
  <si>
    <t>"all"</t>
    <phoneticPr fontId="1" type="noConversion"/>
  </si>
  <si>
    <t>"TRUE"</t>
    <phoneticPr fontId="1" type="noConversion"/>
  </si>
  <si>
    <t>"파란색 물약. 먹으면 MP가 회복된다."</t>
    <phoneticPr fontId="1" type="noConversion"/>
  </si>
  <si>
    <t>"빨간색 물약. 먹으면 HP가 회복된다."</t>
    <phoneticPr fontId="1" type="noConversion"/>
  </si>
  <si>
    <t>"보라색 물약. 먹으면 HP와 MP가 회복된다."</t>
    <phoneticPr fontId="1" type="noConversion"/>
  </si>
  <si>
    <t>template_id</t>
    <phoneticPr fontId="1" type="noConversion"/>
  </si>
  <si>
    <t>icon</t>
    <phoneticPr fontId="1" type="noConversion"/>
  </si>
  <si>
    <t>"/Game/Assets/Icon/HpPotion.HpPotion"</t>
    <phoneticPr fontId="1" type="noConversion"/>
  </si>
  <si>
    <t>"/Game/Assets/Icon/MpPotion.MpPotion"</t>
    <phoneticPr fontId="1" type="noConversion"/>
  </si>
  <si>
    <t>"/Game/Assets/Icon/MixPotion.MixPotion"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</si>
</sst>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008D5-5B4B-40C3-9807-A1000646DEFB}">
  <dimension ref="A1:O5"/>
  <sheetViews>
    <sheetView tabSelected="1" workbookViewId="0">
      <selection activeCell="N9" sqref="N9"/>
    </sheetView>
  </sheetViews>
  <sheetFormatPr defaultRowHeight="17.399999999999999" x14ac:dyDescent="0.4"/>
  <cols>
    <col min="1" max="1" width="7.296875" bestFit="1" customWidth="1"/>
    <col min="2" max="2" width="10.69921875" bestFit="1" customWidth="1"/>
    <col min="3" max="3" width="13.69921875" bestFit="1" customWidth="1"/>
    <col min="4" max="4" width="12.5" bestFit="1" customWidth="1"/>
    <col min="5" max="5" width="16.296875" bestFit="1" customWidth="1"/>
    <col min="6" max="6" width="16.3984375" bestFit="1" customWidth="1"/>
    <col min="7" max="7" width="9.59765625" bestFit="1" customWidth="1"/>
    <col min="8" max="8" width="9.19921875" bestFit="1" customWidth="1"/>
    <col min="10" max="10" width="10" bestFit="1" customWidth="1"/>
    <col min="11" max="11" width="10.69921875" bestFit="1" customWidth="1"/>
    <col min="12" max="12" width="7.3984375" bestFit="1" customWidth="1"/>
    <col min="13" max="13" width="9.3984375" bestFit="1" customWidth="1"/>
    <col min="14" max="14" width="39.09765625" bestFit="1" customWidth="1"/>
    <col min="15" max="15" width="9.796875" bestFit="1" customWidth="1"/>
  </cols>
  <sheetData>
    <row r="1" spans="1:15" x14ac:dyDescent="0.4">
      <c r="A1" t="s">
        <v>34</v>
      </c>
      <c r="B1" t="s">
        <v>12</v>
      </c>
      <c r="C1" t="s">
        <v>13</v>
      </c>
      <c r="D1" t="s">
        <v>14</v>
      </c>
      <c r="E1" t="s">
        <v>15</v>
      </c>
      <c r="F1" t="s">
        <v>0</v>
      </c>
      <c r="G1" t="s">
        <v>1</v>
      </c>
      <c r="H1" t="s">
        <v>2</v>
      </c>
      <c r="I1" t="s">
        <v>3</v>
      </c>
      <c r="J1" t="s">
        <v>18</v>
      </c>
      <c r="K1" t="s">
        <v>19</v>
      </c>
      <c r="L1" t="s">
        <v>16</v>
      </c>
      <c r="M1" t="s">
        <v>10</v>
      </c>
      <c r="N1" t="s">
        <v>8</v>
      </c>
      <c r="O1" t="s">
        <v>35</v>
      </c>
    </row>
    <row r="2" spans="1:15" x14ac:dyDescent="0.4">
      <c r="A2" t="s">
        <v>20</v>
      </c>
      <c r="B2" t="s">
        <v>20</v>
      </c>
      <c r="C2" t="s">
        <v>20</v>
      </c>
      <c r="D2" t="s">
        <v>20</v>
      </c>
      <c r="E2" t="s">
        <v>20</v>
      </c>
      <c r="F2" t="s">
        <v>20</v>
      </c>
      <c r="G2" t="s">
        <v>20</v>
      </c>
      <c r="H2" t="s">
        <v>20</v>
      </c>
      <c r="I2" t="s">
        <v>20</v>
      </c>
      <c r="J2" t="s">
        <v>20</v>
      </c>
      <c r="K2" t="s">
        <v>20</v>
      </c>
      <c r="L2" t="s">
        <v>20</v>
      </c>
      <c r="M2" t="s">
        <v>20</v>
      </c>
      <c r="N2" t="s">
        <v>21</v>
      </c>
      <c r="O2" t="s">
        <v>21</v>
      </c>
    </row>
    <row r="3" spans="1:15" x14ac:dyDescent="0.4">
      <c r="A3">
        <v>2000</v>
      </c>
      <c r="B3" t="s">
        <v>24</v>
      </c>
      <c r="C3" t="s">
        <v>28</v>
      </c>
      <c r="D3" t="s">
        <v>27</v>
      </c>
      <c r="E3">
        <v>0</v>
      </c>
      <c r="F3" t="s">
        <v>29</v>
      </c>
      <c r="G3">
        <v>10</v>
      </c>
      <c r="H3">
        <v>150</v>
      </c>
      <c r="I3">
        <f>H3/10</f>
        <v>15</v>
      </c>
      <c r="J3">
        <v>0.3</v>
      </c>
      <c r="K3">
        <v>0</v>
      </c>
      <c r="L3" t="s">
        <v>30</v>
      </c>
      <c r="M3">
        <v>10</v>
      </c>
      <c r="N3" t="s">
        <v>32</v>
      </c>
      <c r="O3" t="s">
        <v>36</v>
      </c>
    </row>
    <row r="4" spans="1:15" x14ac:dyDescent="0.4">
      <c r="A4">
        <v>2001</v>
      </c>
      <c r="B4" t="s">
        <v>25</v>
      </c>
      <c r="C4" t="s">
        <v>28</v>
      </c>
      <c r="D4" t="s">
        <v>27</v>
      </c>
      <c r="E4">
        <v>0</v>
      </c>
      <c r="F4" t="s">
        <v>29</v>
      </c>
      <c r="G4">
        <v>10</v>
      </c>
      <c r="H4">
        <v>150</v>
      </c>
      <c r="I4">
        <f t="shared" ref="I4:I5" si="0">H4/10</f>
        <v>15</v>
      </c>
      <c r="J4">
        <v>0</v>
      </c>
      <c r="K4">
        <v>0.3</v>
      </c>
      <c r="L4" t="s">
        <v>30</v>
      </c>
      <c r="M4">
        <v>10</v>
      </c>
      <c r="N4" t="s">
        <v>31</v>
      </c>
      <c r="O4" t="s">
        <v>37</v>
      </c>
    </row>
    <row r="5" spans="1:15" x14ac:dyDescent="0.4">
      <c r="A5">
        <v>2002</v>
      </c>
      <c r="B5" t="s">
        <v>26</v>
      </c>
      <c r="C5" t="s">
        <v>28</v>
      </c>
      <c r="D5" t="s">
        <v>27</v>
      </c>
      <c r="E5">
        <v>0</v>
      </c>
      <c r="F5" t="s">
        <v>29</v>
      </c>
      <c r="G5">
        <v>10</v>
      </c>
      <c r="H5">
        <v>250</v>
      </c>
      <c r="I5">
        <f t="shared" si="0"/>
        <v>25</v>
      </c>
      <c r="J5">
        <v>0.4</v>
      </c>
      <c r="K5">
        <v>0.4</v>
      </c>
      <c r="L5" t="s">
        <v>30</v>
      </c>
      <c r="M5">
        <v>10</v>
      </c>
      <c r="N5" t="s">
        <v>33</v>
      </c>
      <c r="O5" t="s">
        <v>38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45201-2628-4823-B6D1-8A4642A35A02}">
  <dimension ref="A1:X2"/>
  <sheetViews>
    <sheetView topLeftCell="O1" workbookViewId="0">
      <selection activeCell="X1" sqref="X1"/>
    </sheetView>
  </sheetViews>
  <sheetFormatPr defaultRowHeight="17.399999999999999" x14ac:dyDescent="0.4"/>
  <cols>
    <col min="23" max="23" width="10.3984375" bestFit="1" customWidth="1"/>
  </cols>
  <sheetData>
    <row r="1" spans="1:24" x14ac:dyDescent="0.4">
      <c r="A1" t="s">
        <v>34</v>
      </c>
      <c r="B1" t="s">
        <v>12</v>
      </c>
      <c r="C1" t="s">
        <v>13</v>
      </c>
      <c r="D1" t="s">
        <v>14</v>
      </c>
      <c r="E1" t="s">
        <v>23</v>
      </c>
      <c r="F1" t="s">
        <v>15</v>
      </c>
      <c r="G1" t="s">
        <v>0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18</v>
      </c>
      <c r="P1" t="s">
        <v>19</v>
      </c>
      <c r="Q1" t="s">
        <v>9</v>
      </c>
      <c r="R1" t="s">
        <v>11</v>
      </c>
      <c r="S1" t="s">
        <v>22</v>
      </c>
      <c r="T1" t="s">
        <v>16</v>
      </c>
      <c r="U1" t="s">
        <v>17</v>
      </c>
      <c r="V1" t="s">
        <v>10</v>
      </c>
      <c r="W1" t="s">
        <v>8</v>
      </c>
      <c r="X1" t="s">
        <v>35</v>
      </c>
    </row>
    <row r="2" spans="1:24" x14ac:dyDescent="0.4">
      <c r="A2" t="s">
        <v>20</v>
      </c>
      <c r="B2" t="s">
        <v>20</v>
      </c>
      <c r="C2" t="s">
        <v>20</v>
      </c>
      <c r="D2" t="s">
        <v>20</v>
      </c>
      <c r="E2" t="s">
        <v>20</v>
      </c>
      <c r="F2" t="s">
        <v>20</v>
      </c>
      <c r="G2" t="s">
        <v>20</v>
      </c>
      <c r="H2" t="s">
        <v>20</v>
      </c>
      <c r="I2" t="s">
        <v>20</v>
      </c>
      <c r="J2" t="s">
        <v>20</v>
      </c>
      <c r="K2" t="s">
        <v>20</v>
      </c>
      <c r="L2" t="s">
        <v>20</v>
      </c>
      <c r="M2" t="s">
        <v>20</v>
      </c>
      <c r="N2" t="s">
        <v>20</v>
      </c>
      <c r="O2" t="s">
        <v>20</v>
      </c>
      <c r="P2" t="s">
        <v>20</v>
      </c>
      <c r="Q2" t="s">
        <v>20</v>
      </c>
      <c r="R2" t="s">
        <v>20</v>
      </c>
      <c r="S2" t="s">
        <v>20</v>
      </c>
      <c r="T2" t="s">
        <v>20</v>
      </c>
      <c r="U2" t="s">
        <v>20</v>
      </c>
      <c r="V2" t="s">
        <v>20</v>
      </c>
      <c r="W2" t="s">
        <v>21</v>
      </c>
      <c r="X2" t="s">
        <v>21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소비(2000~2999)</vt:lpstr>
      <vt:lpstr>기타(3000~3999)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형석 윤</dc:creator>
  <cp:lastModifiedBy>형석 윤</cp:lastModifiedBy>
  <dcterms:created xsi:type="dcterms:W3CDTF">2025-08-09T18:04:18Z</dcterms:created>
  <dcterms:modified xsi:type="dcterms:W3CDTF">2025-08-27T19:07:17Z</dcterms:modified>
</cp:coreProperties>
</file>